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5E1C5E1F64255FD071775F613C99846245C0EB84" xr6:coauthVersionLast="47" xr6:coauthVersionMax="47" xr10:uidLastSave="{863C56D5-C4E8-4826-9478-7BDA47CCBE80}"/>
  <bookViews>
    <workbookView xWindow="0" yWindow="0" windowWidth="0" windowHeight="0" xr2:uid="{00000000-000D-0000-FFFF-FFFF00000000}"/>
  </bookViews>
  <sheets>
    <sheet name="KPI_BSC" sheetId="1" r:id="rId1"/>
    <sheet name="Heatmap_TI" sheetId="2" r:id="rId2"/>
    <sheet name="Objetivos_PETI" sheetId="3" r:id="rId3"/>
    <sheet name="DOFA_TI" sheetId="4" r:id="rId4"/>
    <sheet name="MinTIC_TD" sheetId="5" r:id="rId5"/>
    <sheet name="Portafolio_Olas" sheetId="6" r:id="rId6"/>
    <sheet name="Trazabilida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<sst xmlns="http://schemas.openxmlformats.org/spreadsheetml/2006/main" count="480" uniqueCount="334">
  <si>
    <t>INFIVALLE — Portafolio KPI PETI 2025–2028</t>
  </si>
  <si>
    <t>Cuadro de Mando Integral (BSC) · 4 Perspectivas · 13 KPI</t>
  </si>
  <si>
    <t>Código KPI</t>
  </si>
  <si>
    <t>Nombre KPI</t>
  </si>
  <si>
    <t>Perspectiva BSC</t>
  </si>
  <si>
    <t>Objetivo PETI</t>
  </si>
  <si>
    <t>Unidad/Escala</t>
  </si>
  <si>
    <t>Línea Base</t>
  </si>
  <si>
    <t>Meta 2028</t>
  </si>
  <si>
    <t>Frecuencia</t>
  </si>
  <si>
    <t>Responsable</t>
  </si>
  <si>
    <t>KPI-01</t>
  </si>
  <si>
    <t>Madurez MGGTI</t>
  </si>
  <si>
    <t>Contribución Corporativa</t>
  </si>
  <si>
    <t>OBJ-01 Gobierno TI</t>
  </si>
  <si>
    <t>0–5 escala MinTIC</t>
  </si>
  <si>
    <t>1.2</t>
  </si>
  <si>
    <t>4.0/5</t>
  </si>
  <si>
    <t>Semestral</t>
  </si>
  <si>
    <t>S1 / OTI</t>
  </si>
  <si>
    <t>KPI-02</t>
  </si>
  <si>
    <t>Iniciativas PETI ejecutadas</t>
  </si>
  <si>
    <t>% en tiempo y alcance</t>
  </si>
  <si>
    <t>Base 2024</t>
  </si>
  <si>
    <t>&gt;62%</t>
  </si>
  <si>
    <t>Trimestral</t>
  </si>
  <si>
    <t>PMO / Comité TI</t>
  </si>
  <si>
    <t>KPI-FIN</t>
  </si>
  <si>
    <t>Eficiencia portafolio / costo evitable</t>
  </si>
  <si>
    <t>Índice / valor $</t>
  </si>
  <si>
    <t>—</t>
  </si>
  <si>
    <t>Fórmula inst.</t>
  </si>
  <si>
    <t>OTI + Financiera</t>
  </si>
  <si>
    <t>KPI-07</t>
  </si>
  <si>
    <t>Satisfacción usuarios TI</t>
  </si>
  <si>
    <t>Orientación al Usuario</t>
  </si>
  <si>
    <t>OBJ-06 Capacidades</t>
  </si>
  <si>
    <t>Escala 1–5</t>
  </si>
  <si>
    <t>3.1</t>
  </si>
  <si>
    <t>4.3/5</t>
  </si>
  <si>
    <t>OTI / Atención</t>
  </si>
  <si>
    <t>KPI-06</t>
  </si>
  <si>
    <t>Trámites digitalizados SUIT</t>
  </si>
  <si>
    <t>OBJ-03 Servicios Digitales</t>
  </si>
  <si>
    <t>% inventario oficial</t>
  </si>
  <si>
    <t>18%</t>
  </si>
  <si>
    <t>85%</t>
  </si>
  <si>
    <t>OTI / Planeación</t>
  </si>
  <si>
    <t>KPI-U3</t>
  </si>
  <si>
    <t>Tiempo resolución P1/P2 ITSM</t>
  </si>
  <si>
    <t>Días hábiles prom.</t>
  </si>
  <si>
    <t>Base</t>
  </si>
  <si>
    <t>Reducción</t>
  </si>
  <si>
    <t>Mensual</t>
  </si>
  <si>
    <t>Mesa de servicios</t>
  </si>
  <si>
    <t>KPI-04</t>
  </si>
  <si>
    <t>Disponibilidad sistemas críticos</t>
  </si>
  <si>
    <t>Excelencia Operativa</t>
  </si>
  <si>
    <t>OBJ-04 Infraestructura</t>
  </si>
  <si>
    <t>% disponibilidad</t>
  </si>
  <si>
    <t>97%</t>
  </si>
  <si>
    <t>99.5%</t>
  </si>
  <si>
    <t>OTI (Infraestructura)</t>
  </si>
  <si>
    <t>KPI-05</t>
  </si>
  <si>
    <t>MTTR incidentes críticos</t>
  </si>
  <si>
    <t>Horas promedio</t>
  </si>
  <si>
    <t>8h</t>
  </si>
  <si>
    <t>2h</t>
  </si>
  <si>
    <t>OTI / ITSM</t>
  </si>
  <si>
    <t>KPI-03</t>
  </si>
  <si>
    <t>Madurez seguridad digital MSPI</t>
  </si>
  <si>
    <t>OBJ-02 Seguridad</t>
  </si>
  <si>
    <t>0–5 escala</t>
  </si>
  <si>
    <t>Nivel 3+</t>
  </si>
  <si>
    <t>CISO / OTI</t>
  </si>
  <si>
    <t>KPI-08</t>
  </si>
  <si>
    <t>Datos maestros gobernados MDM</t>
  </si>
  <si>
    <t>OBJ-05 Datos</t>
  </si>
  <si>
    <t>% entidades críticas</t>
  </si>
  <si>
    <t>10%</t>
  </si>
  <si>
    <t>95%</t>
  </si>
  <si>
    <t>OTI / Riesgos</t>
  </si>
  <si>
    <t>KPI-A1</t>
  </si>
  <si>
    <t>Cumplimiento plan capacitación OTI</t>
  </si>
  <si>
    <t>Capacidades Futuras</t>
  </si>
  <si>
    <t>% módulos/horas</t>
  </si>
  <si>
    <t>12 mod/180h</t>
  </si>
  <si>
    <t>Anual</t>
  </si>
  <si>
    <t>OTI / RRHH</t>
  </si>
  <si>
    <t>KPI-A2</t>
  </si>
  <si>
    <t>Cumplimiento SLAs mesa servicios</t>
  </si>
  <si>
    <t>%</t>
  </si>
  <si>
    <t>≥90%</t>
  </si>
  <si>
    <t>KPI-A3</t>
  </si>
  <si>
    <t>Procesos priorizados integrados</t>
  </si>
  <si>
    <t>% heatmap alta</t>
  </si>
  <si>
    <t>Inventario</t>
  </si>
  <si>
    <t>PMO / OTI</t>
  </si>
  <si>
    <t>INFIVALLE — Mapa de Calor TI (10×7) · Priorización Transformación Digital</t>
  </si>
  <si>
    <t>Área Funcional</t>
  </si>
  <si>
    <t>P1 Plan./Dir.</t>
  </si>
  <si>
    <t>P2 Crédito</t>
  </si>
  <si>
    <t>P3 Cartera</t>
  </si>
  <si>
    <t>P4 Tesorería</t>
  </si>
  <si>
    <t>P5 Proyectos</t>
  </si>
  <si>
    <t>P6 Doc.</t>
  </si>
  <si>
    <t>P7 Canales</t>
  </si>
  <si>
    <t>Promedio</t>
  </si>
  <si>
    <t>1. Planeación/PMO inst.</t>
  </si>
  <si>
    <t>2. OTI</t>
  </si>
  <si>
    <t>3. Talento humano</t>
  </si>
  <si>
    <t>4. Gest. Financiera/Tesorería</t>
  </si>
  <si>
    <t>5. Gestión de crédito</t>
  </si>
  <si>
    <t>6. Cartera/Recuperación</t>
  </si>
  <si>
    <t>7. Proyectos de fomento</t>
  </si>
  <si>
    <t>8. Archivo/Gest. documental</t>
  </si>
  <si>
    <t>9. Riesgos/Cumplimiento</t>
  </si>
  <si>
    <t>10. Atención al usuario</t>
  </si>
  <si>
    <t>LEYENDA: 8–9 Crítica (rojo) · 6–7 Alta (naranja) · 5 Media (amarillo) · 3–4 Baja (verde) · 0–2 Mínima (azul)</t>
  </si>
  <si>
    <t>INFIVALLE — Objetivos Estratégicos PETI 2025–2028 (OBJ-01 a OBJ-06)</t>
  </si>
  <si>
    <t>Código</t>
  </si>
  <si>
    <t>Nombre</t>
  </si>
  <si>
    <t>Ola</t>
  </si>
  <si>
    <t>Descripción breve</t>
  </si>
  <si>
    <t>KPI asociados</t>
  </si>
  <si>
    <t>BSC</t>
  </si>
  <si>
    <t>Cadena de valor</t>
  </si>
  <si>
    <t>Meta referencia 2028</t>
  </si>
  <si>
    <t>OBJ-01</t>
  </si>
  <si>
    <t>Gobierno TI</t>
  </si>
  <si>
    <t>Ola 1 (2025)</t>
  </si>
  <si>
    <t>Modelo gobierno TI funcional: Comité, RACI, PMO, política TI aprobada</t>
  </si>
  <si>
    <t>KPI-01, KPI-02</t>
  </si>
  <si>
    <t>BSC-F1, BSC-F3</t>
  </si>
  <si>
    <t>P1, S1, S4</t>
  </si>
  <si>
    <t>MGGTI 1.2→4.0/5</t>
  </si>
  <si>
    <t>OBJ-02</t>
  </si>
  <si>
    <t>Seguridad Digital</t>
  </si>
  <si>
    <t>Ola 1 y 4</t>
  </si>
  <si>
    <t>SGSI ISO 27001, BCP/DR con pruebas, SOC 24×7 operativo, MSPI MinTIC</t>
  </si>
  <si>
    <t>BSC-O3</t>
  </si>
  <si>
    <t>P3, S1</t>
  </si>
  <si>
    <t>ISO 27001 certificado</t>
  </si>
  <si>
    <t>OBJ-03</t>
  </si>
  <si>
    <t>Servicios Digitales</t>
  </si>
  <si>
    <t>Ola 2 (2026)</t>
  </si>
  <si>
    <t>Digitalización trámites SUIT, canales digitales, reducción trámites presenciales</t>
  </si>
  <si>
    <t>BSC-U2</t>
  </si>
  <si>
    <t>P6, P4</t>
  </si>
  <si>
    <t>18%→85% trámites digitales</t>
  </si>
  <si>
    <t>OBJ-04</t>
  </si>
  <si>
    <t>Infraestructura y Nube</t>
  </si>
  <si>
    <t>Ola 1–2</t>
  </si>
  <si>
    <t>Renovación infraestructura crítica, RTO≤4h, RPO≤1h, nube híbrida</t>
  </si>
  <si>
    <t>KPI-04, KPI-05</t>
  </si>
  <si>
    <t>BSC-O1, BSC-O2</t>
  </si>
  <si>
    <t>P2, P3</t>
  </si>
  <si>
    <t>99.5% disponibilidad</t>
  </si>
  <si>
    <t>OBJ-05</t>
  </si>
  <si>
    <t>Datos e Inteligencia</t>
  </si>
  <si>
    <t>DWH institucional, MDM, analítica Power BI, Ley 1581/2012</t>
  </si>
  <si>
    <t>BSC-O4</t>
  </si>
  <si>
    <t>P5, P4</t>
  </si>
  <si>
    <t>10%→95% MDM gobernado</t>
  </si>
  <si>
    <t>OBJ-06</t>
  </si>
  <si>
    <t>Capacidades y Cambio</t>
  </si>
  <si>
    <t>Ola 3–4</t>
  </si>
  <si>
    <t>Formación OTI 12 módulos/180h, ITSM/ITIL, satisfacción usuarios</t>
  </si>
  <si>
    <t>KPI-07, KPI-A1, KPI-A2</t>
  </si>
  <si>
    <t>BSC-U1, BSC-A1, BSC-A2</t>
  </si>
  <si>
    <t>P7, P6, S3</t>
  </si>
  <si>
    <t>Satisfacción 3.1→4.3/5</t>
  </si>
  <si>
    <t>INFIVALLE — Análisis DOFA TI · Capacidades TI exclusivamente</t>
  </si>
  <si>
    <t>Cuadrante</t>
  </si>
  <si>
    <t>Descripción</t>
  </si>
  <si>
    <t>Objetivo PETI relacionado</t>
  </si>
  <si>
    <t>KPI vinculado</t>
  </si>
  <si>
    <t>F1</t>
  </si>
  <si>
    <t>Fortaleza</t>
  </si>
  <si>
    <t>Conocimiento profundo de procesos misionales financieros (crédito, cartera, proyectos)</t>
  </si>
  <si>
    <t>OBJ-01, OBJ-05</t>
  </si>
  <si>
    <t>F2</t>
  </si>
  <si>
    <t>Infraestructura en evolución: DC principal + alterno, virtualización, operación centralizada</t>
  </si>
  <si>
    <t>F3</t>
  </si>
  <si>
    <t>Portafolio de sistemas en operación: IAS, DOCUNET, INFIDATOS, INFIBANCA</t>
  </si>
  <si>
    <t>OBJ-03, OBJ-04</t>
  </si>
  <si>
    <t>F4</t>
  </si>
  <si>
    <t>Prácticas de continuidad y respaldo en maduración (PCN/DR en desarrollo)</t>
  </si>
  <si>
    <t>OBJ-02, OBJ-04</t>
  </si>
  <si>
    <t>KPI-03, KPI-05</t>
  </si>
  <si>
    <t>D1</t>
  </si>
  <si>
    <t>Debilidad</t>
  </si>
  <si>
    <t>Capacidad humana TI limitada frente a la demanda y el portafolio vigente</t>
  </si>
  <si>
    <t>D2</t>
  </si>
  <si>
    <t>Deuda técnica e integración parcial; procedimientos manuales y obsolescencia</t>
  </si>
  <si>
    <t>OBJ-04, OBJ-05</t>
  </si>
  <si>
    <t>D3</t>
  </si>
  <si>
    <t>Madurez media-baja en seguridad avanzada, analítica institucional y SOC estructurado</t>
  </si>
  <si>
    <t>D4</t>
  </si>
  <si>
    <t>Cultura de papel y subaprovechamiento de aplicaciones; adopción tecnológica desigual</t>
  </si>
  <si>
    <t>D5</t>
  </si>
  <si>
    <t>Gestión contractual/mantenimientos con terceros irregular (riesgo operativo)</t>
  </si>
  <si>
    <t>O1</t>
  </si>
  <si>
    <t>Oportunidad</t>
  </si>
  <si>
    <t>Mandatos interoperabilidad y servicios ciudadanos (SUIT, firma electrónica, Gobierno Digital)</t>
  </si>
  <si>
    <t>O2</t>
  </si>
  <si>
    <t>Fortalecimiento SGSI/ISO 27001 como habilitador de confianza con supervisión y calificadoras</t>
  </si>
  <si>
    <t>O3</t>
  </si>
  <si>
    <t>Necesidad analítica de riesgo/cartera y gobierno de datos para decisión y reporte</t>
  </si>
  <si>
    <t>O4</t>
  </si>
  <si>
    <t>Modernización cloud híbrida cuando el riesgo/cumplimiento lo permita</t>
  </si>
  <si>
    <t>A1</t>
  </si>
  <si>
    <t>Amenaza</t>
  </si>
  <si>
    <t>Ciberataques y extorsión dirigidos al sector financiero público territorial</t>
  </si>
  <si>
    <t>KPI-03, KPI-04</t>
  </si>
  <si>
    <t>A2</t>
  </si>
  <si>
    <t>Cambios regulatorios acelerados y presión de supervisión SFC y calificadoras</t>
  </si>
  <si>
    <t>OBJ-01, OBJ-02</t>
  </si>
  <si>
    <t>A3</t>
  </si>
  <si>
    <t>Dependencia de proveedores core (lock-in) y riesgo de continuidad contractual</t>
  </si>
  <si>
    <t>A4</t>
  </si>
  <si>
    <t>Daño reputacional por incidentes que afecten usuarios de servicios territoriales</t>
  </si>
  <si>
    <t>OBJ-02, OBJ-03</t>
  </si>
  <si>
    <t>KPI-03, KPI-07</t>
  </si>
  <si>
    <t>INFIVALLE — Herramienta MinTIC Transformación Digital · Puntajes por Variable (0–4)</t>
  </si>
  <si>
    <t>Dimensión</t>
  </si>
  <si>
    <t>Variable / Pregunta</t>
  </si>
  <si>
    <t>Puntaje (0–4)</t>
  </si>
  <si>
    <t>Interpretación</t>
  </si>
  <si>
    <t>Q1</t>
  </si>
  <si>
    <t>Personas y Cultura</t>
  </si>
  <si>
    <t>Habilidades duras (competencias técnicas TIC)</t>
  </si>
  <si>
    <t>Brecha media</t>
  </si>
  <si>
    <t>Q2</t>
  </si>
  <si>
    <t>Habilidades blandas para transformación digital</t>
  </si>
  <si>
    <t>Q3</t>
  </si>
  <si>
    <t>Cultura organizacional para TD</t>
  </si>
  <si>
    <t>Q4</t>
  </si>
  <si>
    <t>Ciudadanos/usuarios preparados para canales digitales</t>
  </si>
  <si>
    <t>Q5</t>
  </si>
  <si>
    <t>Procesos</t>
  </si>
  <si>
    <t>Brecha digital en procesos clave</t>
  </si>
  <si>
    <t>Q6</t>
  </si>
  <si>
    <t>Potencial de mejora con transformación digital</t>
  </si>
  <si>
    <t>Adecuado</t>
  </si>
  <si>
    <t>OBJ-03, OBJ-05</t>
  </si>
  <si>
    <t>Q7</t>
  </si>
  <si>
    <t>Esquema organizacional efectivo para TD</t>
  </si>
  <si>
    <t>Q8</t>
  </si>
  <si>
    <t>Datos</t>
  </si>
  <si>
    <t>Tecnología incentiva decisiones data-driven</t>
  </si>
  <si>
    <t>Q9</t>
  </si>
  <si>
    <t>Calidad y recolección confiable de datos</t>
  </si>
  <si>
    <t>Q10</t>
  </si>
  <si>
    <t>Bases de datos protegidas (seguridad y privacidad)</t>
  </si>
  <si>
    <t>OBJ-02, OBJ-05</t>
  </si>
  <si>
    <t>Q11</t>
  </si>
  <si>
    <t>Datos usados para decisiones en áreas funcionales</t>
  </si>
  <si>
    <t>Q12</t>
  </si>
  <si>
    <t>Tecnología</t>
  </si>
  <si>
    <t>Robustez tecnológica para usuarios internos</t>
  </si>
  <si>
    <t>Q13</t>
  </si>
  <si>
    <t>Robustez en interacción con ciudadanía</t>
  </si>
  <si>
    <t>Q14</t>
  </si>
  <si>
    <t>Conocimiento de tecnologías implementadas en core</t>
  </si>
  <si>
    <t>Q15</t>
  </si>
  <si>
    <t>Conocimiento de tecnologías 4RI</t>
  </si>
  <si>
    <t>OBJ-05, OBJ-06</t>
  </si>
  <si>
    <t>Q16</t>
  </si>
  <si>
    <t>Brecha actual vs cuarta revolución industrial</t>
  </si>
  <si>
    <t>Q17</t>
  </si>
  <si>
    <t>Identificación de tiempos/riesgos/costos 4RI</t>
  </si>
  <si>
    <t>Promedios por dimensión</t>
  </si>
  <si>
    <t>PROMEDIO GENERAL</t>
  </si>
  <si>
    <t>INFIVALLE — Portafolio por Olas de Ejecución 2025–2028</t>
  </si>
  <si>
    <t>Año</t>
  </si>
  <si>
    <t>Objetivos PETI</t>
  </si>
  <si>
    <t>Iniciativas / Entregables</t>
  </si>
  <si>
    <t>Sistemas Involucrados</t>
  </si>
  <si>
    <t>Marco Normativo</t>
  </si>
  <si>
    <t>Estado esperado</t>
  </si>
  <si>
    <t>Ola 1</t>
  </si>
  <si>
    <t>2025</t>
  </si>
  <si>
    <t>OBJ-01, OBJ-02, OBJ-04</t>
  </si>
  <si>
    <t>Gobierno TI (Comité, RACI, PMO G-01/G-02/E-01)
SGSI / ISO 27001 inicio (S-01…S-10)
Renovación infraestructura crítica
BCP/DR estructurado</t>
  </si>
  <si>
    <t>IAS, INFIDATOS, INFIBANCA
Infraestructura DC Cali + Palmira</t>
  </si>
  <si>
    <t>MGGTI, MIPG, ISO 27001, PCN</t>
  </si>
  <si>
    <t>Cimientos y gobierno básico establecido</t>
  </si>
  <si>
    <t>Ola 2</t>
  </si>
  <si>
    <t>2026</t>
  </si>
  <si>
    <t>OBJ-03, OBJ-04, OBJ-05</t>
  </si>
  <si>
    <t>Integración API/ESB (IAS–DOCUNET–INFIDATOS)
SUIT: ampliar trámites digitalizados
DWH/BI institucional
Nube híbrida: evaluación y piloto</t>
  </si>
  <si>
    <t>IAS, DOCUNET, INFIDATOS
Infrastructura cloud híbrida</t>
  </si>
  <si>
    <t>Decreto 767/2022, GovDigital
Ley 1581/2012</t>
  </si>
  <si>
    <t>Integración activa, BI operativo</t>
  </si>
  <si>
    <t>Ola 3</t>
  </si>
  <si>
    <t>2027</t>
  </si>
  <si>
    <t>OBJ-03, OBJ-06</t>
  </si>
  <si>
    <t>Profundización TD trámites SUIT
MDM operativo
Adopción y cambio cultural consolidado (ADKAR)
ITSM ITIL avanzado</t>
  </si>
  <si>
    <t>SUIT, GLPI→ITSM, MDM
Todos los sistemas core</t>
  </si>
  <si>
    <t>MIPG, MGGTI, Ley 489/1998</t>
  </si>
  <si>
    <t>Transformación digital consolidada</t>
  </si>
  <si>
    <t>Ola 4</t>
  </si>
  <si>
    <t>2028</t>
  </si>
  <si>
    <t>OBJ-02, OBJ-01, OBJ-06</t>
  </si>
  <si>
    <t>Certificación ISO 27001 formal
SOC 24×7 operativo
Cierre MGGTI ≥4.0/5
Evaluación exPost y ajuste PETI</t>
  </si>
  <si>
    <t>SOC, IAM, SGSI completo
Todos los sistemas</t>
  </si>
  <si>
    <t>ISO 27001, MSPI, MGGTI</t>
  </si>
  <si>
    <t>Madurez TI nivel 4 alcanzada</t>
  </si>
  <si>
    <t>INFIVALLE — Tabla Maestra de Trazabilidad PETI 2025–2028</t>
  </si>
  <si>
    <t>OBJ PETI</t>
  </si>
  <si>
    <t>KPI</t>
  </si>
  <si>
    <t>Cadena Valor</t>
  </si>
  <si>
    <t>Iniciativas</t>
  </si>
  <si>
    <t>DOFA Debilidad/Fortaleza</t>
  </si>
  <si>
    <t>DOFA Oportunidad/Amenaza</t>
  </si>
  <si>
    <t>G-01, G-02, E-01</t>
  </si>
  <si>
    <t>MGGTI, MIPG</t>
  </si>
  <si>
    <t>D1, D5</t>
  </si>
  <si>
    <t>OBJ-02 Seguridad Digital</t>
  </si>
  <si>
    <t>S-01…S-10</t>
  </si>
  <si>
    <t>ISO 27001, MSPI, MIPG</t>
  </si>
  <si>
    <t>O2, A1</t>
  </si>
  <si>
    <t>SUIT, canales</t>
  </si>
  <si>
    <t>Decreto 767/2022, GovDigital</t>
  </si>
  <si>
    <t>OBJ-04 Infraestructura y Nube</t>
  </si>
  <si>
    <t>Renovación infra, DR</t>
  </si>
  <si>
    <t>MGGTI, PCN</t>
  </si>
  <si>
    <t>D2, F2</t>
  </si>
  <si>
    <t>O4, A3</t>
  </si>
  <si>
    <t>OBJ-05 Datos e Inteligencia</t>
  </si>
  <si>
    <t>DWH, MDM, BI</t>
  </si>
  <si>
    <t>Ley 1581/2012, GovDatos</t>
  </si>
  <si>
    <t>D2,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</si>
</sst>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1"/>
      <color theme="1"/>
      <name val="Calibri"/>
      <family val="2"/>
      <scheme val="minor"/>
    </font>
    <font>
      <b/>
      <sz val="12"/>
      <color rgb="FFE8EAF0"/>
      <name val="Arial"/>
    </font>
    <font>
      <b/>
      <sz val="9"/>
      <color rgb="FF9CA3AF"/>
      <name val="Arial"/>
    </font>
    <font>
      <b/>
      <sz val="9"/>
      <color rgb="FFE8EAF0"/>
      <name val="Arial"/>
    </font>
    <font>
      <b/>
      <sz val="9"/>
      <color rgb="FF1A56DB"/>
      <name val="Arial"/>
    </font>
    <font>
      <sz val="9"/>
      <color rgb="FF111827"/>
      <name val="Arial"/>
    </font>
    <font>
      <b/>
      <sz val="9"/>
      <color rgb="FF1D4ED8"/>
      <name val="Arial"/>
    </font>
    <font>
      <b/>
      <sz val="9"/>
      <color rgb="FF15803D"/>
      <name val="Arial"/>
    </font>
    <font>
      <b/>
      <sz val="9"/>
      <color rgb="FF92400E"/>
      <name val="Arial"/>
    </font>
    <font>
      <b/>
      <sz val="9"/>
      <color rgb="FF6D28D9"/>
      <name val="Arial"/>
    </font>
    <font>
      <b/>
      <sz val="10"/>
      <color rgb="FF854D0E"/>
      <name val="Arial"/>
    </font>
    <font>
      <b/>
      <sz val="10"/>
      <color rgb="FF1E40AF"/>
      <name val="Arial"/>
    </font>
    <font>
      <b/>
      <sz val="9"/>
      <color rgb="FF374151"/>
      <name val="Arial"/>
    </font>
    <font>
      <b/>
      <sz val="9"/>
      <color rgb="FF111827"/>
      <name val="Arial"/>
    </font>
    <font>
      <b/>
      <sz val="10"/>
      <color rgb="FFDC2626"/>
      <name val="Arial"/>
    </font>
    <font>
      <b/>
      <sz val="10"/>
      <color rgb="FFC81E1E"/>
      <name val="Arial"/>
    </font>
    <font>
      <b/>
      <sz val="10"/>
      <color rgb="FF047857"/>
      <name val="Arial"/>
    </font>
    <font>
      <b/>
      <sz val="10"/>
      <color rgb="FFD97706"/>
      <name val="Arial"/>
    </font>
    <font>
      <b/>
      <sz val="10"/>
      <color rgb="FF1A56DB"/>
      <name val="Arial"/>
    </font>
    <font>
      <b/>
      <sz val="9"/>
      <color rgb="FFC81E1E"/>
      <name val="Arial"/>
    </font>
    <font>
      <b/>
      <sz val="10"/>
      <color rgb="FF057A55"/>
      <name val="Arial"/>
    </font>
    <font>
      <b/>
      <sz val="9"/>
      <color rgb="FF057A55"/>
      <name val="Arial"/>
    </font>
    <font>
      <b/>
      <sz val="10"/>
      <color rgb="FFB45309"/>
      <name val="Arial"/>
    </font>
    <font>
      <b/>
      <sz val="9"/>
      <color rgb="FFB45309"/>
      <name val="Arial"/>
    </font>
    <font>
      <b/>
      <sz val="10"/>
      <color rgb="FF6C2BD9"/>
      <name val="Arial"/>
    </font>
    <font>
      <b/>
      <sz val="9"/>
      <color rgb="FF6C2BD9"/>
      <name val="Arial"/>
    </font>
    <font>
      <sz val="9"/>
      <color rgb="FFB45309"/>
      <name val="Arial"/>
    </font>
    <font>
      <sz val="9"/>
      <color rgb="FF1A56DB"/>
      <name val="Arial"/>
    </font>
    <font>
      <sz val="9"/>
      <color rgb="FF057A55"/>
      <name val="Arial"/>
    </font>
    <font>
      <sz val="9"/>
      <color rgb="FF6C2BD9"/>
      <name val="Arial"/>
    </font>
    <font>
      <b/>
      <sz val="9"/>
      <color rgb="FFE5E7E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2230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5F3FF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" fontId="22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workbookViewId="0">
      <pane ySplit="2" topLeftCell="A12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24" customWidth="1"/>
    <col min="4" max="4" width="22" customWidth="1"/>
    <col min="5" max="5" width="18" customWidth="1"/>
    <col min="6" max="8" width="12" customWidth="1"/>
    <col min="9" max="9" width="20" customWidth="1"/>
  </cols>
  <sheetData>
    <row r="1" spans="1:9" ht="27.95" customHeight="1">
      <c r="A1" s="53" t="s">
        <v>0</v>
      </c>
      <c r="B1" s="57"/>
      <c r="C1" s="57"/>
      <c r="D1" s="57"/>
      <c r="E1" s="57"/>
      <c r="F1" s="57"/>
      <c r="G1" s="57"/>
      <c r="H1" s="57"/>
      <c r="I1" s="57"/>
    </row>
    <row r="2" spans="1:9" ht="18" customHeight="1">
      <c r="A2" s="54" t="s">
        <v>1</v>
      </c>
      <c r="B2" s="57"/>
      <c r="C2" s="57"/>
      <c r="D2" s="57"/>
      <c r="E2" s="57"/>
      <c r="F2" s="57"/>
      <c r="G2" s="57"/>
      <c r="H2" s="57"/>
      <c r="I2" s="57"/>
    </row>
    <row r="3" spans="1:9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1.95" customHeight="1">
      <c r="A4" s="2" t="s">
        <v>11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ht="21.95" customHeight="1">
      <c r="A5" s="2" t="s">
        <v>20</v>
      </c>
      <c r="B5" s="3" t="s">
        <v>21</v>
      </c>
      <c r="C5" s="4" t="s">
        <v>13</v>
      </c>
      <c r="D5" s="3" t="s">
        <v>14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21.95" customHeight="1">
      <c r="A6" s="2" t="s">
        <v>27</v>
      </c>
      <c r="B6" s="3" t="s">
        <v>28</v>
      </c>
      <c r="C6" s="4" t="s">
        <v>13</v>
      </c>
      <c r="D6" s="3" t="s">
        <v>14</v>
      </c>
      <c r="E6" s="3" t="s">
        <v>29</v>
      </c>
      <c r="F6" s="3" t="s">
        <v>30</v>
      </c>
      <c r="G6" s="3" t="s">
        <v>31</v>
      </c>
      <c r="H6" s="3" t="s">
        <v>18</v>
      </c>
      <c r="I6" s="3" t="s">
        <v>32</v>
      </c>
    </row>
    <row r="7" spans="1:9" ht="21.95" customHeight="1">
      <c r="A7" s="2" t="s">
        <v>33</v>
      </c>
      <c r="B7" s="3" t="s">
        <v>34</v>
      </c>
      <c r="C7" s="5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18</v>
      </c>
      <c r="I7" s="3" t="s">
        <v>40</v>
      </c>
    </row>
    <row r="8" spans="1:9" ht="21.95" customHeight="1">
      <c r="A8" s="2" t="s">
        <v>41</v>
      </c>
      <c r="B8" s="3" t="s">
        <v>42</v>
      </c>
      <c r="C8" s="5" t="s">
        <v>35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25</v>
      </c>
      <c r="I8" s="3" t="s">
        <v>47</v>
      </c>
    </row>
    <row r="9" spans="1:9" ht="21.95" customHeight="1">
      <c r="A9" s="2" t="s">
        <v>48</v>
      </c>
      <c r="B9" s="3" t="s">
        <v>49</v>
      </c>
      <c r="C9" s="5" t="s">
        <v>35</v>
      </c>
      <c r="D9" s="3" t="s">
        <v>36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</row>
    <row r="10" spans="1:9" ht="21.95" customHeight="1">
      <c r="A10" s="2" t="s">
        <v>55</v>
      </c>
      <c r="B10" s="3" t="s">
        <v>56</v>
      </c>
      <c r="C10" s="6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53</v>
      </c>
      <c r="I10" s="3" t="s">
        <v>62</v>
      </c>
    </row>
    <row r="11" spans="1:9" ht="21.95" customHeight="1">
      <c r="A11" s="2" t="s">
        <v>63</v>
      </c>
      <c r="B11" s="3" t="s">
        <v>64</v>
      </c>
      <c r="C11" s="6" t="s">
        <v>57</v>
      </c>
      <c r="D11" s="3" t="s">
        <v>58</v>
      </c>
      <c r="E11" s="3" t="s">
        <v>65</v>
      </c>
      <c r="F11" s="3" t="s">
        <v>66</v>
      </c>
      <c r="G11" s="3" t="s">
        <v>67</v>
      </c>
      <c r="H11" s="3" t="s">
        <v>53</v>
      </c>
      <c r="I11" s="3" t="s">
        <v>68</v>
      </c>
    </row>
    <row r="12" spans="1:9" ht="21.95" customHeight="1">
      <c r="A12" s="2" t="s">
        <v>69</v>
      </c>
      <c r="B12" s="3" t="s">
        <v>70</v>
      </c>
      <c r="C12" s="6" t="s">
        <v>57</v>
      </c>
      <c r="D12" s="3" t="s">
        <v>71</v>
      </c>
      <c r="E12" s="3" t="s">
        <v>72</v>
      </c>
      <c r="F12" s="3" t="s">
        <v>51</v>
      </c>
      <c r="G12" s="3" t="s">
        <v>73</v>
      </c>
      <c r="H12" s="3" t="s">
        <v>18</v>
      </c>
      <c r="I12" s="3" t="s">
        <v>74</v>
      </c>
    </row>
    <row r="13" spans="1:9" ht="21.95" customHeight="1">
      <c r="A13" s="2" t="s">
        <v>75</v>
      </c>
      <c r="B13" s="3" t="s">
        <v>76</v>
      </c>
      <c r="C13" s="6" t="s">
        <v>57</v>
      </c>
      <c r="D13" s="3" t="s">
        <v>77</v>
      </c>
      <c r="E13" s="3" t="s">
        <v>78</v>
      </c>
      <c r="F13" s="3" t="s">
        <v>79</v>
      </c>
      <c r="G13" s="3" t="s">
        <v>80</v>
      </c>
      <c r="H13" s="3" t="s">
        <v>25</v>
      </c>
      <c r="I13" s="3" t="s">
        <v>81</v>
      </c>
    </row>
    <row r="14" spans="1:9" ht="21.95" customHeight="1">
      <c r="A14" s="2" t="s">
        <v>82</v>
      </c>
      <c r="B14" s="3" t="s">
        <v>83</v>
      </c>
      <c r="C14" s="7" t="s">
        <v>84</v>
      </c>
      <c r="D14" s="3" t="s">
        <v>36</v>
      </c>
      <c r="E14" s="3" t="s">
        <v>85</v>
      </c>
      <c r="F14" s="3" t="s">
        <v>30</v>
      </c>
      <c r="G14" s="3" t="s">
        <v>86</v>
      </c>
      <c r="H14" s="3" t="s">
        <v>87</v>
      </c>
      <c r="I14" s="3" t="s">
        <v>88</v>
      </c>
    </row>
    <row r="15" spans="1:9" ht="21.95" customHeight="1">
      <c r="A15" s="2" t="s">
        <v>89</v>
      </c>
      <c r="B15" s="3" t="s">
        <v>90</v>
      </c>
      <c r="C15" s="7" t="s">
        <v>84</v>
      </c>
      <c r="D15" s="3" t="s">
        <v>36</v>
      </c>
      <c r="E15" s="3" t="s">
        <v>91</v>
      </c>
      <c r="F15" s="3" t="s">
        <v>30</v>
      </c>
      <c r="G15" s="3" t="s">
        <v>92</v>
      </c>
      <c r="H15" s="3" t="s">
        <v>53</v>
      </c>
      <c r="I15" s="3" t="s">
        <v>54</v>
      </c>
    </row>
    <row r="16" spans="1:9" ht="21.95" customHeight="1">
      <c r="A16" s="2" t="s">
        <v>93</v>
      </c>
      <c r="B16" s="3" t="s">
        <v>94</v>
      </c>
      <c r="C16" s="7" t="s">
        <v>84</v>
      </c>
      <c r="D16" s="3" t="s">
        <v>36</v>
      </c>
      <c r="E16" s="3" t="s">
        <v>95</v>
      </c>
      <c r="F16" s="3" t="s">
        <v>51</v>
      </c>
      <c r="G16" s="3" t="s">
        <v>96</v>
      </c>
      <c r="H16" s="3" t="s">
        <v>18</v>
      </c>
      <c r="I16" s="3" t="s">
        <v>97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" customWidth="1"/>
    <col min="2" max="9" width="12" customWidth="1"/>
  </cols>
  <sheetData>
    <row r="1" spans="1:9" ht="27.95" customHeight="1">
      <c r="A1" s="53" t="s">
        <v>98</v>
      </c>
      <c r="B1" s="57"/>
      <c r="C1" s="57"/>
      <c r="D1" s="57"/>
      <c r="E1" s="57"/>
      <c r="F1" s="57"/>
      <c r="G1" s="57"/>
      <c r="H1" s="57"/>
      <c r="I1" s="57"/>
    </row>
    <row r="2" spans="1:9" ht="30" customHeight="1">
      <c r="A2" s="1" t="s">
        <v>99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</row>
    <row r="3" spans="1:9" ht="21.95" customHeight="1">
      <c r="A3" s="3" t="s">
        <v>108</v>
      </c>
      <c r="B3" s="8">
        <v>5</v>
      </c>
      <c r="C3" s="9">
        <v>2</v>
      </c>
      <c r="D3" s="9">
        <v>2</v>
      </c>
      <c r="E3" s="9">
        <v>2</v>
      </c>
      <c r="F3" s="8">
        <v>5</v>
      </c>
      <c r="G3" s="9">
        <v>2</v>
      </c>
      <c r="H3" s="9">
        <v>2</v>
      </c>
      <c r="I3" s="10">
        <f>AVERAGE(B3:H3)</f>
        <v>2.8571428571428572</v>
      </c>
    </row>
    <row r="4" spans="1:9" ht="21.95" customHeight="1">
      <c r="A4" s="11" t="s">
        <v>109</v>
      </c>
      <c r="B4" s="12">
        <v>8</v>
      </c>
      <c r="C4" s="13">
        <v>9</v>
      </c>
      <c r="D4" s="13">
        <v>9</v>
      </c>
      <c r="E4" s="13">
        <v>9</v>
      </c>
      <c r="F4" s="13">
        <v>9</v>
      </c>
      <c r="G4" s="13">
        <v>9</v>
      </c>
      <c r="H4" s="13">
        <v>9</v>
      </c>
      <c r="I4" s="10">
        <f>AVERAGE(B4:H4)</f>
        <v>8.8571428571428577</v>
      </c>
    </row>
    <row r="5" spans="1:9" ht="21.95" customHeight="1">
      <c r="A5" s="3" t="s">
        <v>110</v>
      </c>
      <c r="B5" s="8">
        <v>5</v>
      </c>
      <c r="C5" s="9">
        <v>2</v>
      </c>
      <c r="D5" s="9">
        <v>2</v>
      </c>
      <c r="E5" s="9">
        <v>2</v>
      </c>
      <c r="F5" s="14">
        <v>3</v>
      </c>
      <c r="G5" s="9">
        <v>2</v>
      </c>
      <c r="H5" s="8">
        <v>5</v>
      </c>
      <c r="I5" s="10">
        <f>AVERAGE(B5:H5)</f>
        <v>3</v>
      </c>
    </row>
    <row r="6" spans="1:9" ht="21.95" customHeight="1">
      <c r="A6" s="3" t="s">
        <v>111</v>
      </c>
      <c r="B6" s="8">
        <v>5</v>
      </c>
      <c r="C6" s="9">
        <v>2</v>
      </c>
      <c r="D6" s="8">
        <v>5</v>
      </c>
      <c r="E6" s="13">
        <v>9</v>
      </c>
      <c r="F6" s="8">
        <v>5</v>
      </c>
      <c r="G6" s="9">
        <v>2</v>
      </c>
      <c r="H6" s="9">
        <v>2</v>
      </c>
      <c r="I6" s="10">
        <f>AVERAGE(B6:H6)</f>
        <v>4.2857142857142856</v>
      </c>
    </row>
    <row r="7" spans="1:9" ht="21.95" customHeight="1">
      <c r="A7" s="3" t="s">
        <v>112</v>
      </c>
      <c r="B7" s="8">
        <v>5</v>
      </c>
      <c r="C7" s="13">
        <v>9</v>
      </c>
      <c r="D7" s="15">
        <v>6</v>
      </c>
      <c r="E7" s="9">
        <v>2</v>
      </c>
      <c r="F7" s="8">
        <v>5</v>
      </c>
      <c r="G7" s="9">
        <v>2</v>
      </c>
      <c r="H7" s="8">
        <v>5</v>
      </c>
      <c r="I7" s="10">
        <f>AVERAGE(B7:H7)</f>
        <v>4.8571428571428568</v>
      </c>
    </row>
    <row r="8" spans="1:9" ht="21.95" customHeight="1">
      <c r="A8" s="3" t="s">
        <v>113</v>
      </c>
      <c r="B8" s="8">
        <v>5</v>
      </c>
      <c r="C8" s="15">
        <v>6</v>
      </c>
      <c r="D8" s="13">
        <v>9</v>
      </c>
      <c r="E8" s="8">
        <v>5</v>
      </c>
      <c r="F8" s="14">
        <v>3</v>
      </c>
      <c r="G8" s="8">
        <v>5</v>
      </c>
      <c r="H8" s="8">
        <v>5</v>
      </c>
      <c r="I8" s="10">
        <f>AVERAGE(B8:H8)</f>
        <v>5.4285714285714288</v>
      </c>
    </row>
    <row r="9" spans="1:9" ht="21.95" customHeight="1">
      <c r="A9" s="3" t="s">
        <v>114</v>
      </c>
      <c r="B9" s="8">
        <v>5</v>
      </c>
      <c r="C9" s="14">
        <v>3</v>
      </c>
      <c r="D9" s="14">
        <v>3</v>
      </c>
      <c r="E9" s="14">
        <v>3</v>
      </c>
      <c r="F9" s="13">
        <v>9</v>
      </c>
      <c r="G9" s="8">
        <v>5</v>
      </c>
      <c r="H9" s="8">
        <v>5</v>
      </c>
      <c r="I9" s="10">
        <f>AVERAGE(B9:H9)</f>
        <v>4.7142857142857144</v>
      </c>
    </row>
    <row r="10" spans="1:9" ht="21.95" customHeight="1">
      <c r="A10" s="3" t="s">
        <v>115</v>
      </c>
      <c r="B10" s="14">
        <v>3</v>
      </c>
      <c r="C10" s="8">
        <v>5</v>
      </c>
      <c r="D10" s="8">
        <v>5</v>
      </c>
      <c r="E10" s="14">
        <v>3</v>
      </c>
      <c r="F10" s="8">
        <v>5</v>
      </c>
      <c r="G10" s="13">
        <v>9</v>
      </c>
      <c r="H10" s="15">
        <v>6</v>
      </c>
      <c r="I10" s="10">
        <f>AVERAGE(B10:H10)</f>
        <v>5.1428571428571432</v>
      </c>
    </row>
    <row r="11" spans="1:9" ht="21.95" customHeight="1">
      <c r="A11" s="3" t="s">
        <v>116</v>
      </c>
      <c r="B11" s="8">
        <v>5</v>
      </c>
      <c r="C11" s="12">
        <v>8</v>
      </c>
      <c r="D11" s="12">
        <v>8</v>
      </c>
      <c r="E11" s="12">
        <v>8</v>
      </c>
      <c r="F11" s="15">
        <v>6</v>
      </c>
      <c r="G11" s="15">
        <v>6</v>
      </c>
      <c r="H11" s="14">
        <v>3</v>
      </c>
      <c r="I11" s="10">
        <f>AVERAGE(B11:H11)</f>
        <v>6.2857142857142856</v>
      </c>
    </row>
    <row r="12" spans="1:9" ht="21.95" customHeight="1">
      <c r="A12" s="3" t="s">
        <v>117</v>
      </c>
      <c r="B12" s="14">
        <v>3</v>
      </c>
      <c r="C12" s="8">
        <v>5</v>
      </c>
      <c r="D12" s="8">
        <v>5</v>
      </c>
      <c r="E12" s="14">
        <v>3</v>
      </c>
      <c r="F12" s="8">
        <v>5</v>
      </c>
      <c r="G12" s="15">
        <v>6</v>
      </c>
      <c r="H12" s="13">
        <v>9</v>
      </c>
      <c r="I12" s="10">
        <f>AVERAGE(B12:H12)</f>
        <v>5.1428571428571432</v>
      </c>
    </row>
    <row r="15" spans="1:9">
      <c r="A15" s="55" t="s">
        <v>118</v>
      </c>
      <c r="B15" s="57"/>
      <c r="C15" s="57"/>
      <c r="D15" s="57"/>
      <c r="E15" s="57"/>
      <c r="F15" s="57"/>
      <c r="G15" s="57"/>
      <c r="H15" s="57"/>
      <c r="I15" s="57"/>
    </row>
  </sheetData>
  <mergeCells count="2">
    <mergeCell ref="A1:I1"/>
    <mergeCell ref="A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0" customWidth="1"/>
    <col min="2" max="2" width="20" customWidth="1"/>
    <col min="3" max="3" width="12" customWidth="1"/>
    <col min="4" max="4" width="40" customWidth="1"/>
    <col min="5" max="5" width="20" customWidth="1"/>
    <col min="6" max="6" width="22" customWidth="1"/>
    <col min="7" max="7" width="16" customWidth="1"/>
    <col min="8" max="8" width="22" customWidth="1"/>
  </cols>
  <sheetData>
    <row r="1" spans="1:8" ht="27.95" customHeight="1">
      <c r="A1" s="53" t="s">
        <v>119</v>
      </c>
      <c r="B1" s="57"/>
      <c r="C1" s="57"/>
      <c r="D1" s="57"/>
      <c r="E1" s="57"/>
      <c r="F1" s="57"/>
      <c r="G1" s="57"/>
      <c r="H1" s="57"/>
    </row>
    <row r="2" spans="1:8" ht="30" customHeight="1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</row>
    <row r="3" spans="1:8" ht="39.950000000000003" customHeight="1">
      <c r="A3" s="16" t="s">
        <v>128</v>
      </c>
      <c r="B3" s="17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</row>
    <row r="4" spans="1:8" ht="39.950000000000003" customHeight="1">
      <c r="A4" s="18" t="s">
        <v>136</v>
      </c>
      <c r="B4" s="19" t="s">
        <v>137</v>
      </c>
      <c r="C4" s="3" t="s">
        <v>138</v>
      </c>
      <c r="D4" s="3" t="s">
        <v>139</v>
      </c>
      <c r="E4" s="3" t="s">
        <v>69</v>
      </c>
      <c r="F4" s="3" t="s">
        <v>140</v>
      </c>
      <c r="G4" s="3" t="s">
        <v>141</v>
      </c>
      <c r="H4" s="3" t="s">
        <v>142</v>
      </c>
    </row>
    <row r="5" spans="1:8" ht="39.950000000000003" customHeight="1">
      <c r="A5" s="20" t="s">
        <v>143</v>
      </c>
      <c r="B5" s="21" t="s">
        <v>144</v>
      </c>
      <c r="C5" s="3" t="s">
        <v>145</v>
      </c>
      <c r="D5" s="3" t="s">
        <v>146</v>
      </c>
      <c r="E5" s="3" t="s">
        <v>41</v>
      </c>
      <c r="F5" s="3" t="s">
        <v>147</v>
      </c>
      <c r="G5" s="3" t="s">
        <v>148</v>
      </c>
      <c r="H5" s="3" t="s">
        <v>149</v>
      </c>
    </row>
    <row r="6" spans="1:8" ht="39.950000000000003" customHeight="1">
      <c r="A6" s="22" t="s">
        <v>150</v>
      </c>
      <c r="B6" s="23" t="s">
        <v>151</v>
      </c>
      <c r="C6" s="3" t="s">
        <v>152</v>
      </c>
      <c r="D6" s="3" t="s">
        <v>153</v>
      </c>
      <c r="E6" s="3" t="s">
        <v>154</v>
      </c>
      <c r="F6" s="3" t="s">
        <v>155</v>
      </c>
      <c r="G6" s="3" t="s">
        <v>156</v>
      </c>
      <c r="H6" s="3" t="s">
        <v>157</v>
      </c>
    </row>
    <row r="7" spans="1:8" ht="39.950000000000003" customHeight="1">
      <c r="A7" s="24" t="s">
        <v>158</v>
      </c>
      <c r="B7" s="25" t="s">
        <v>159</v>
      </c>
      <c r="C7" s="3" t="s">
        <v>145</v>
      </c>
      <c r="D7" s="3" t="s">
        <v>160</v>
      </c>
      <c r="E7" s="3" t="s">
        <v>75</v>
      </c>
      <c r="F7" s="3" t="s">
        <v>161</v>
      </c>
      <c r="G7" s="3" t="s">
        <v>162</v>
      </c>
      <c r="H7" s="3" t="s">
        <v>163</v>
      </c>
    </row>
    <row r="8" spans="1:8" ht="39.950000000000003" customHeight="1">
      <c r="A8" s="20" t="s">
        <v>164</v>
      </c>
      <c r="B8" s="21" t="s">
        <v>165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171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52" customWidth="1"/>
    <col min="4" max="4" width="28" customWidth="1"/>
    <col min="5" max="5" width="20" customWidth="1"/>
  </cols>
  <sheetData>
    <row r="1" spans="1:5" ht="27.95" customHeight="1">
      <c r="A1" s="53" t="s">
        <v>172</v>
      </c>
      <c r="B1" s="57"/>
      <c r="C1" s="57"/>
      <c r="D1" s="57"/>
      <c r="E1" s="57"/>
    </row>
    <row r="2" spans="1:5" ht="27.95" customHeight="1">
      <c r="A2" s="1" t="s">
        <v>120</v>
      </c>
      <c r="B2" s="1" t="s">
        <v>173</v>
      </c>
      <c r="C2" s="1" t="s">
        <v>174</v>
      </c>
      <c r="D2" s="1" t="s">
        <v>175</v>
      </c>
      <c r="E2" s="1" t="s">
        <v>176</v>
      </c>
    </row>
    <row r="3" spans="1:5" ht="26.1" customHeight="1">
      <c r="A3" s="26" t="s">
        <v>177</v>
      </c>
      <c r="B3" s="27" t="s">
        <v>178</v>
      </c>
      <c r="C3" s="3" t="s">
        <v>179</v>
      </c>
      <c r="D3" s="3" t="s">
        <v>180</v>
      </c>
      <c r="E3" s="3" t="s">
        <v>75</v>
      </c>
    </row>
    <row r="4" spans="1:5" ht="26.1" customHeight="1">
      <c r="A4" s="26" t="s">
        <v>181</v>
      </c>
      <c r="B4" s="27" t="s">
        <v>178</v>
      </c>
      <c r="C4" s="3" t="s">
        <v>182</v>
      </c>
      <c r="D4" s="3" t="s">
        <v>150</v>
      </c>
      <c r="E4" s="3" t="s">
        <v>154</v>
      </c>
    </row>
    <row r="5" spans="1:5" ht="26.1" customHeight="1">
      <c r="A5" s="26" t="s">
        <v>183</v>
      </c>
      <c r="B5" s="27" t="s">
        <v>178</v>
      </c>
      <c r="C5" s="3" t="s">
        <v>184</v>
      </c>
      <c r="D5" s="3" t="s">
        <v>185</v>
      </c>
      <c r="E5" s="3" t="s">
        <v>41</v>
      </c>
    </row>
    <row r="6" spans="1:5" ht="26.1" customHeight="1">
      <c r="A6" s="26" t="s">
        <v>186</v>
      </c>
      <c r="B6" s="27" t="s">
        <v>178</v>
      </c>
      <c r="C6" s="3" t="s">
        <v>187</v>
      </c>
      <c r="D6" s="3" t="s">
        <v>188</v>
      </c>
      <c r="E6" s="3" t="s">
        <v>189</v>
      </c>
    </row>
    <row r="7" spans="1:5" ht="26.1" customHeight="1">
      <c r="A7" s="28" t="s">
        <v>190</v>
      </c>
      <c r="B7" s="29" t="s">
        <v>191</v>
      </c>
      <c r="C7" s="3" t="s">
        <v>192</v>
      </c>
      <c r="D7" s="3" t="s">
        <v>164</v>
      </c>
      <c r="E7" s="3" t="s">
        <v>82</v>
      </c>
    </row>
    <row r="8" spans="1:5" ht="26.1" customHeight="1">
      <c r="A8" s="28" t="s">
        <v>193</v>
      </c>
      <c r="B8" s="29" t="s">
        <v>191</v>
      </c>
      <c r="C8" s="3" t="s">
        <v>194</v>
      </c>
      <c r="D8" s="3" t="s">
        <v>195</v>
      </c>
      <c r="E8" s="3" t="s">
        <v>93</v>
      </c>
    </row>
    <row r="9" spans="1:5" ht="26.1" customHeight="1">
      <c r="A9" s="28" t="s">
        <v>196</v>
      </c>
      <c r="B9" s="29" t="s">
        <v>191</v>
      </c>
      <c r="C9" s="3" t="s">
        <v>197</v>
      </c>
      <c r="D9" s="3" t="s">
        <v>136</v>
      </c>
      <c r="E9" s="3" t="s">
        <v>69</v>
      </c>
    </row>
    <row r="10" spans="1:5" ht="26.1" customHeight="1">
      <c r="A10" s="28" t="s">
        <v>198</v>
      </c>
      <c r="B10" s="29" t="s">
        <v>191</v>
      </c>
      <c r="C10" s="3" t="s">
        <v>199</v>
      </c>
      <c r="D10" s="3" t="s">
        <v>164</v>
      </c>
      <c r="E10" s="3" t="s">
        <v>33</v>
      </c>
    </row>
    <row r="11" spans="1:5" ht="26.1" customHeight="1">
      <c r="A11" s="28" t="s">
        <v>200</v>
      </c>
      <c r="B11" s="29" t="s">
        <v>191</v>
      </c>
      <c r="C11" s="3" t="s">
        <v>201</v>
      </c>
      <c r="D11" s="3" t="s">
        <v>128</v>
      </c>
      <c r="E11" s="3" t="s">
        <v>27</v>
      </c>
    </row>
    <row r="12" spans="1:5" ht="26.1" customHeight="1">
      <c r="A12" s="30" t="s">
        <v>202</v>
      </c>
      <c r="B12" s="31" t="s">
        <v>203</v>
      </c>
      <c r="C12" s="3" t="s">
        <v>204</v>
      </c>
      <c r="D12" s="3" t="s">
        <v>143</v>
      </c>
      <c r="E12" s="3" t="s">
        <v>41</v>
      </c>
    </row>
    <row r="13" spans="1:5" ht="26.1" customHeight="1">
      <c r="A13" s="30" t="s">
        <v>205</v>
      </c>
      <c r="B13" s="31" t="s">
        <v>203</v>
      </c>
      <c r="C13" s="3" t="s">
        <v>206</v>
      </c>
      <c r="D13" s="3" t="s">
        <v>136</v>
      </c>
      <c r="E13" s="3" t="s">
        <v>69</v>
      </c>
    </row>
    <row r="14" spans="1:5" ht="26.1" customHeight="1">
      <c r="A14" s="30" t="s">
        <v>207</v>
      </c>
      <c r="B14" s="31" t="s">
        <v>203</v>
      </c>
      <c r="C14" s="3" t="s">
        <v>208</v>
      </c>
      <c r="D14" s="3" t="s">
        <v>158</v>
      </c>
      <c r="E14" s="3" t="s">
        <v>75</v>
      </c>
    </row>
    <row r="15" spans="1:5" ht="26.1" customHeight="1">
      <c r="A15" s="30" t="s">
        <v>209</v>
      </c>
      <c r="B15" s="31" t="s">
        <v>203</v>
      </c>
      <c r="C15" s="3" t="s">
        <v>210</v>
      </c>
      <c r="D15" s="3" t="s">
        <v>150</v>
      </c>
      <c r="E15" s="3" t="s">
        <v>55</v>
      </c>
    </row>
    <row r="16" spans="1:5" ht="26.1" customHeight="1">
      <c r="A16" s="32" t="s">
        <v>211</v>
      </c>
      <c r="B16" s="33" t="s">
        <v>212</v>
      </c>
      <c r="C16" s="3" t="s">
        <v>213</v>
      </c>
      <c r="D16" s="3" t="s">
        <v>136</v>
      </c>
      <c r="E16" s="3" t="s">
        <v>214</v>
      </c>
    </row>
    <row r="17" spans="1:5" ht="26.1" customHeight="1">
      <c r="A17" s="32" t="s">
        <v>215</v>
      </c>
      <c r="B17" s="33" t="s">
        <v>212</v>
      </c>
      <c r="C17" s="3" t="s">
        <v>216</v>
      </c>
      <c r="D17" s="3" t="s">
        <v>217</v>
      </c>
      <c r="E17" s="3" t="s">
        <v>11</v>
      </c>
    </row>
    <row r="18" spans="1:5" ht="26.1" customHeight="1">
      <c r="A18" s="32" t="s">
        <v>218</v>
      </c>
      <c r="B18" s="33" t="s">
        <v>212</v>
      </c>
      <c r="C18" s="3" t="s">
        <v>219</v>
      </c>
      <c r="D18" s="3" t="s">
        <v>150</v>
      </c>
      <c r="E18" s="3" t="s">
        <v>27</v>
      </c>
    </row>
    <row r="19" spans="1:5" ht="26.1" customHeight="1">
      <c r="A19" s="32" t="s">
        <v>220</v>
      </c>
      <c r="B19" s="33" t="s">
        <v>212</v>
      </c>
      <c r="C19" s="3" t="s">
        <v>221</v>
      </c>
      <c r="D19" s="3" t="s">
        <v>222</v>
      </c>
      <c r="E19" s="3" t="s">
        <v>223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" customWidth="1"/>
    <col min="2" max="2" width="22" customWidth="1"/>
    <col min="3" max="3" width="48" customWidth="1"/>
    <col min="4" max="4" width="14" customWidth="1"/>
    <col min="5" max="5" width="16" customWidth="1"/>
    <col min="6" max="6" width="22" customWidth="1"/>
  </cols>
  <sheetData>
    <row r="1" spans="1:6" ht="27.95" customHeight="1">
      <c r="A1" s="53" t="s">
        <v>224</v>
      </c>
      <c r="B1" s="57"/>
      <c r="C1" s="57"/>
      <c r="D1" s="57"/>
      <c r="E1" s="57"/>
      <c r="F1" s="57"/>
    </row>
    <row r="2" spans="1:6" ht="27.95" customHeight="1">
      <c r="A2" s="1" t="s">
        <v>120</v>
      </c>
      <c r="B2" s="1" t="s">
        <v>225</v>
      </c>
      <c r="C2" s="1" t="s">
        <v>226</v>
      </c>
      <c r="D2" s="1" t="s">
        <v>227</v>
      </c>
      <c r="E2" s="1" t="s">
        <v>228</v>
      </c>
      <c r="F2" s="1" t="s">
        <v>5</v>
      </c>
    </row>
    <row r="3" spans="1:6" ht="21.95" customHeight="1">
      <c r="A3" s="34" t="s">
        <v>229</v>
      </c>
      <c r="B3" s="35" t="s">
        <v>230</v>
      </c>
      <c r="C3" s="3" t="s">
        <v>231</v>
      </c>
      <c r="D3" s="36">
        <v>2</v>
      </c>
      <c r="E3" s="37" t="s">
        <v>232</v>
      </c>
      <c r="F3" s="3" t="s">
        <v>164</v>
      </c>
    </row>
    <row r="4" spans="1:6" ht="21.95" customHeight="1">
      <c r="A4" s="34" t="s">
        <v>233</v>
      </c>
      <c r="B4" s="35" t="s">
        <v>230</v>
      </c>
      <c r="C4" s="3" t="s">
        <v>234</v>
      </c>
      <c r="D4" s="36">
        <v>2</v>
      </c>
      <c r="E4" s="37" t="s">
        <v>232</v>
      </c>
      <c r="F4" s="3" t="s">
        <v>164</v>
      </c>
    </row>
    <row r="5" spans="1:6" ht="21.95" customHeight="1">
      <c r="A5" s="34" t="s">
        <v>235</v>
      </c>
      <c r="B5" s="35" t="s">
        <v>230</v>
      </c>
      <c r="C5" s="3" t="s">
        <v>236</v>
      </c>
      <c r="D5" s="36">
        <v>2</v>
      </c>
      <c r="E5" s="37" t="s">
        <v>232</v>
      </c>
      <c r="F5" s="3" t="s">
        <v>164</v>
      </c>
    </row>
    <row r="6" spans="1:6" ht="21.95" customHeight="1">
      <c r="A6" s="34" t="s">
        <v>237</v>
      </c>
      <c r="B6" s="35" t="s">
        <v>230</v>
      </c>
      <c r="C6" s="3" t="s">
        <v>238</v>
      </c>
      <c r="D6" s="36">
        <v>2</v>
      </c>
      <c r="E6" s="37" t="s">
        <v>232</v>
      </c>
      <c r="F6" s="3" t="s">
        <v>143</v>
      </c>
    </row>
    <row r="7" spans="1:6" ht="21.95" customHeight="1">
      <c r="A7" s="2" t="s">
        <v>239</v>
      </c>
      <c r="B7" s="38" t="s">
        <v>240</v>
      </c>
      <c r="C7" s="3" t="s">
        <v>241</v>
      </c>
      <c r="D7" s="36">
        <v>2</v>
      </c>
      <c r="E7" s="37" t="s">
        <v>232</v>
      </c>
      <c r="F7" s="3" t="s">
        <v>185</v>
      </c>
    </row>
    <row r="8" spans="1:6" ht="21.95" customHeight="1">
      <c r="A8" s="2" t="s">
        <v>242</v>
      </c>
      <c r="B8" s="38" t="s">
        <v>240</v>
      </c>
      <c r="C8" s="3" t="s">
        <v>243</v>
      </c>
      <c r="D8" s="39">
        <v>3</v>
      </c>
      <c r="E8" s="40" t="s">
        <v>244</v>
      </c>
      <c r="F8" s="3" t="s">
        <v>245</v>
      </c>
    </row>
    <row r="9" spans="1:6" ht="21.95" customHeight="1">
      <c r="A9" s="2" t="s">
        <v>246</v>
      </c>
      <c r="B9" s="38" t="s">
        <v>240</v>
      </c>
      <c r="C9" s="3" t="s">
        <v>247</v>
      </c>
      <c r="D9" s="36">
        <v>2</v>
      </c>
      <c r="E9" s="37" t="s">
        <v>232</v>
      </c>
      <c r="F9" s="3" t="s">
        <v>128</v>
      </c>
    </row>
    <row r="10" spans="1:6" ht="21.95" customHeight="1">
      <c r="A10" s="41" t="s">
        <v>248</v>
      </c>
      <c r="B10" s="42" t="s">
        <v>249</v>
      </c>
      <c r="C10" s="3" t="s">
        <v>250</v>
      </c>
      <c r="D10" s="36">
        <v>2</v>
      </c>
      <c r="E10" s="37" t="s">
        <v>232</v>
      </c>
      <c r="F10" s="3" t="s">
        <v>158</v>
      </c>
    </row>
    <row r="11" spans="1:6" ht="21.95" customHeight="1">
      <c r="A11" s="41" t="s">
        <v>251</v>
      </c>
      <c r="B11" s="42" t="s">
        <v>249</v>
      </c>
      <c r="C11" s="3" t="s">
        <v>252</v>
      </c>
      <c r="D11" s="36">
        <v>2</v>
      </c>
      <c r="E11" s="37" t="s">
        <v>232</v>
      </c>
      <c r="F11" s="3" t="s">
        <v>158</v>
      </c>
    </row>
    <row r="12" spans="1:6" ht="21.95" customHeight="1">
      <c r="A12" s="41" t="s">
        <v>253</v>
      </c>
      <c r="B12" s="42" t="s">
        <v>249</v>
      </c>
      <c r="C12" s="3" t="s">
        <v>254</v>
      </c>
      <c r="D12" s="36">
        <v>2</v>
      </c>
      <c r="E12" s="37" t="s">
        <v>232</v>
      </c>
      <c r="F12" s="3" t="s">
        <v>255</v>
      </c>
    </row>
    <row r="13" spans="1:6" ht="21.95" customHeight="1">
      <c r="A13" s="41" t="s">
        <v>256</v>
      </c>
      <c r="B13" s="42" t="s">
        <v>249</v>
      </c>
      <c r="C13" s="3" t="s">
        <v>257</v>
      </c>
      <c r="D13" s="36">
        <v>2</v>
      </c>
      <c r="E13" s="37" t="s">
        <v>232</v>
      </c>
      <c r="F13" s="3" t="s">
        <v>158</v>
      </c>
    </row>
    <row r="14" spans="1:6" ht="21.95" customHeight="1">
      <c r="A14" s="43" t="s">
        <v>258</v>
      </c>
      <c r="B14" s="44" t="s">
        <v>259</v>
      </c>
      <c r="C14" s="3" t="s">
        <v>260</v>
      </c>
      <c r="D14" s="39">
        <v>3</v>
      </c>
      <c r="E14" s="40" t="s">
        <v>244</v>
      </c>
      <c r="F14" s="3" t="s">
        <v>150</v>
      </c>
    </row>
    <row r="15" spans="1:6" ht="21.95" customHeight="1">
      <c r="A15" s="43" t="s">
        <v>261</v>
      </c>
      <c r="B15" s="44" t="s">
        <v>259</v>
      </c>
      <c r="C15" s="3" t="s">
        <v>262</v>
      </c>
      <c r="D15" s="36">
        <v>2</v>
      </c>
      <c r="E15" s="37" t="s">
        <v>232</v>
      </c>
      <c r="F15" s="3" t="s">
        <v>143</v>
      </c>
    </row>
    <row r="16" spans="1:6" ht="21.95" customHeight="1">
      <c r="A16" s="43" t="s">
        <v>263</v>
      </c>
      <c r="B16" s="44" t="s">
        <v>259</v>
      </c>
      <c r="C16" s="3" t="s">
        <v>264</v>
      </c>
      <c r="D16" s="39">
        <v>3</v>
      </c>
      <c r="E16" s="40" t="s">
        <v>244</v>
      </c>
      <c r="F16" s="3" t="s">
        <v>150</v>
      </c>
    </row>
    <row r="17" spans="1:6" ht="21.95" customHeight="1">
      <c r="A17" s="43" t="s">
        <v>265</v>
      </c>
      <c r="B17" s="44" t="s">
        <v>259</v>
      </c>
      <c r="C17" s="3" t="s">
        <v>266</v>
      </c>
      <c r="D17" s="36">
        <v>2</v>
      </c>
      <c r="E17" s="37" t="s">
        <v>232</v>
      </c>
      <c r="F17" s="3" t="s">
        <v>267</v>
      </c>
    </row>
    <row r="18" spans="1:6" ht="21.95" customHeight="1">
      <c r="A18" s="43" t="s">
        <v>268</v>
      </c>
      <c r="B18" s="44" t="s">
        <v>259</v>
      </c>
      <c r="C18" s="3" t="s">
        <v>269</v>
      </c>
      <c r="D18" s="36">
        <v>2</v>
      </c>
      <c r="E18" s="37" t="s">
        <v>232</v>
      </c>
      <c r="F18" s="3" t="s">
        <v>158</v>
      </c>
    </row>
    <row r="19" spans="1:6" ht="21.95" customHeight="1">
      <c r="A19" s="43" t="s">
        <v>270</v>
      </c>
      <c r="B19" s="44" t="s">
        <v>259</v>
      </c>
      <c r="C19" s="3" t="s">
        <v>271</v>
      </c>
      <c r="D19" s="36">
        <v>2</v>
      </c>
      <c r="E19" s="37" t="s">
        <v>232</v>
      </c>
      <c r="F19" s="3" t="s">
        <v>180</v>
      </c>
    </row>
    <row r="21" spans="1:6">
      <c r="A21" s="56" t="s">
        <v>272</v>
      </c>
      <c r="B21" s="57"/>
    </row>
    <row r="22" spans="1:6">
      <c r="A22" s="45" t="s">
        <v>230</v>
      </c>
      <c r="B22" s="46">
        <v>2</v>
      </c>
    </row>
    <row r="23" spans="1:6">
      <c r="A23" s="45" t="s">
        <v>240</v>
      </c>
      <c r="B23" s="46">
        <v>2.33</v>
      </c>
    </row>
    <row r="24" spans="1:6">
      <c r="A24" s="45" t="s">
        <v>249</v>
      </c>
      <c r="B24" s="46">
        <v>2</v>
      </c>
    </row>
    <row r="25" spans="1:6">
      <c r="A25" s="45" t="s">
        <v>259</v>
      </c>
      <c r="B25" s="46">
        <v>2.33</v>
      </c>
    </row>
    <row r="26" spans="1:6">
      <c r="A26" s="45" t="s">
        <v>273</v>
      </c>
      <c r="B26" s="46">
        <v>2.12</v>
      </c>
    </row>
  </sheetData>
  <mergeCells count="2">
    <mergeCell ref="A21:B2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0" customWidth="1"/>
    <col min="2" max="2" width="8" customWidth="1"/>
    <col min="3" max="3" width="22" customWidth="1"/>
    <col min="4" max="4" width="45" customWidth="1"/>
    <col min="5" max="7" width="28" customWidth="1"/>
  </cols>
  <sheetData>
    <row r="1" spans="1:7" ht="27.95" customHeight="1">
      <c r="A1" s="53" t="s">
        <v>274</v>
      </c>
      <c r="B1" s="57"/>
      <c r="C1" s="57"/>
      <c r="D1" s="57"/>
      <c r="E1" s="57"/>
      <c r="F1" s="57"/>
      <c r="G1" s="57"/>
    </row>
    <row r="2" spans="1:7" ht="27.95" customHeight="1">
      <c r="A2" s="1" t="s">
        <v>122</v>
      </c>
      <c r="B2" s="1" t="s">
        <v>275</v>
      </c>
      <c r="C2" s="1" t="s">
        <v>276</v>
      </c>
      <c r="D2" s="1" t="s">
        <v>277</v>
      </c>
      <c r="E2" s="1" t="s">
        <v>278</v>
      </c>
      <c r="F2" s="1" t="s">
        <v>279</v>
      </c>
      <c r="G2" s="1" t="s">
        <v>280</v>
      </c>
    </row>
    <row r="3" spans="1:7" ht="69.95" customHeight="1">
      <c r="A3" s="16" t="s">
        <v>281</v>
      </c>
      <c r="B3" s="47" t="s">
        <v>282</v>
      </c>
      <c r="C3" s="31" t="s">
        <v>283</v>
      </c>
      <c r="D3" s="3" t="s">
        <v>284</v>
      </c>
      <c r="E3" s="3" t="s">
        <v>285</v>
      </c>
      <c r="F3" s="3" t="s">
        <v>286</v>
      </c>
      <c r="G3" s="3" t="s">
        <v>287</v>
      </c>
    </row>
    <row r="4" spans="1:7" ht="69.95" customHeight="1">
      <c r="A4" s="20" t="s">
        <v>288</v>
      </c>
      <c r="B4" s="48" t="s">
        <v>289</v>
      </c>
      <c r="C4" s="27" t="s">
        <v>290</v>
      </c>
      <c r="D4" s="3" t="s">
        <v>291</v>
      </c>
      <c r="E4" s="3" t="s">
        <v>292</v>
      </c>
      <c r="F4" s="3" t="s">
        <v>293</v>
      </c>
      <c r="G4" s="3" t="s">
        <v>294</v>
      </c>
    </row>
    <row r="5" spans="1:7" ht="69.95" customHeight="1">
      <c r="A5" s="22" t="s">
        <v>295</v>
      </c>
      <c r="B5" s="49" t="s">
        <v>296</v>
      </c>
      <c r="C5" s="33" t="s">
        <v>297</v>
      </c>
      <c r="D5" s="3" t="s">
        <v>298</v>
      </c>
      <c r="E5" s="3" t="s">
        <v>299</v>
      </c>
      <c r="F5" s="3" t="s">
        <v>300</v>
      </c>
      <c r="G5" s="3" t="s">
        <v>301</v>
      </c>
    </row>
    <row r="6" spans="1:7" ht="69.95" customHeight="1">
      <c r="A6" s="24" t="s">
        <v>302</v>
      </c>
      <c r="B6" s="50" t="s">
        <v>303</v>
      </c>
      <c r="C6" s="51" t="s">
        <v>304</v>
      </c>
      <c r="D6" s="3" t="s">
        <v>305</v>
      </c>
      <c r="E6" s="3" t="s">
        <v>306</v>
      </c>
      <c r="F6" s="3" t="s">
        <v>307</v>
      </c>
      <c r="G6" s="3" t="s">
        <v>308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" customWidth="1"/>
    <col min="2" max="3" width="22" customWidth="1"/>
    <col min="4" max="4" width="14" customWidth="1"/>
    <col min="5" max="5" width="22" customWidth="1"/>
    <col min="6" max="6" width="28" customWidth="1"/>
    <col min="7" max="8" width="18" customWidth="1"/>
  </cols>
  <sheetData>
    <row r="1" spans="1:8" ht="27.95" customHeight="1">
      <c r="A1" s="53" t="s">
        <v>309</v>
      </c>
      <c r="B1" s="57"/>
      <c r="C1" s="57"/>
      <c r="D1" s="57"/>
      <c r="E1" s="57"/>
      <c r="F1" s="57"/>
      <c r="G1" s="57"/>
      <c r="H1" s="57"/>
    </row>
    <row r="2" spans="1:8" ht="30" customHeight="1">
      <c r="A2" s="1" t="s">
        <v>310</v>
      </c>
      <c r="B2" s="1" t="s">
        <v>125</v>
      </c>
      <c r="C2" s="1" t="s">
        <v>311</v>
      </c>
      <c r="D2" s="1" t="s">
        <v>312</v>
      </c>
      <c r="E2" s="1" t="s">
        <v>313</v>
      </c>
      <c r="F2" s="1" t="s">
        <v>279</v>
      </c>
      <c r="G2" s="1" t="s">
        <v>314</v>
      </c>
      <c r="H2" s="1" t="s">
        <v>315</v>
      </c>
    </row>
    <row r="3" spans="1:8" ht="35.1" customHeight="1">
      <c r="A3" s="31" t="s">
        <v>14</v>
      </c>
      <c r="B3" s="3" t="s">
        <v>133</v>
      </c>
      <c r="C3" s="3" t="s">
        <v>132</v>
      </c>
      <c r="D3" s="3" t="s">
        <v>134</v>
      </c>
      <c r="E3" s="3" t="s">
        <v>316</v>
      </c>
      <c r="F3" s="3" t="s">
        <v>317</v>
      </c>
      <c r="G3" s="3" t="s">
        <v>318</v>
      </c>
      <c r="H3" s="3" t="s">
        <v>205</v>
      </c>
    </row>
    <row r="4" spans="1:8" ht="35.1" customHeight="1">
      <c r="A4" s="27" t="s">
        <v>319</v>
      </c>
      <c r="B4" s="3" t="s">
        <v>140</v>
      </c>
      <c r="C4" s="3" t="s">
        <v>69</v>
      </c>
      <c r="D4" s="3" t="s">
        <v>141</v>
      </c>
      <c r="E4" s="3" t="s">
        <v>320</v>
      </c>
      <c r="F4" s="3" t="s">
        <v>321</v>
      </c>
      <c r="G4" s="3" t="s">
        <v>196</v>
      </c>
      <c r="H4" s="3" t="s">
        <v>322</v>
      </c>
    </row>
    <row r="5" spans="1:8" ht="35.1" customHeight="1">
      <c r="A5" s="33" t="s">
        <v>43</v>
      </c>
      <c r="B5" s="3" t="s">
        <v>147</v>
      </c>
      <c r="C5" s="3" t="s">
        <v>41</v>
      </c>
      <c r="D5" s="3" t="s">
        <v>148</v>
      </c>
      <c r="E5" s="3" t="s">
        <v>323</v>
      </c>
      <c r="F5" s="3" t="s">
        <v>324</v>
      </c>
      <c r="G5" s="3" t="s">
        <v>198</v>
      </c>
      <c r="H5" s="3" t="s">
        <v>202</v>
      </c>
    </row>
    <row r="6" spans="1:8" ht="35.1" customHeight="1">
      <c r="A6" s="51" t="s">
        <v>325</v>
      </c>
      <c r="B6" s="3" t="s">
        <v>155</v>
      </c>
      <c r="C6" s="3" t="s">
        <v>154</v>
      </c>
      <c r="D6" s="3" t="s">
        <v>156</v>
      </c>
      <c r="E6" s="3" t="s">
        <v>326</v>
      </c>
      <c r="F6" s="3" t="s">
        <v>327</v>
      </c>
      <c r="G6" s="3" t="s">
        <v>328</v>
      </c>
      <c r="H6" s="3" t="s">
        <v>329</v>
      </c>
    </row>
    <row r="7" spans="1:8" ht="35.1" customHeight="1">
      <c r="A7" s="27" t="s">
        <v>330</v>
      </c>
      <c r="B7" s="3" t="s">
        <v>161</v>
      </c>
      <c r="C7" s="3" t="s">
        <v>75</v>
      </c>
      <c r="D7" s="3" t="s">
        <v>162</v>
      </c>
      <c r="E7" s="3" t="s">
        <v>331</v>
      </c>
      <c r="F7" s="3" t="s">
        <v>332</v>
      </c>
      <c r="G7" s="3" t="s">
        <v>333</v>
      </c>
      <c r="H7" s="3" t="s">
        <v>207</v>
      </c>
    </row>
    <row r="8" spans="1:8">
      <c r="A8" s="52"/>
      <c r="B8" s="52"/>
      <c r="C8" s="52"/>
      <c r="D8" s="52"/>
      <c r="E8" s="52"/>
      <c r="F8" s="52"/>
      <c r="G8" s="52"/>
      <c r="H8" s="5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2026-05-14T03:57:45Z</dcterms:created>
  <dcterms:modified xsi:type="dcterms:W3CDTF">2026-05-23T21:59:40Z</dcterms:modified>
  <cp:category/>
  <cp:contentStatus/>
</cp:coreProperties>
</file>